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85" tabRatio="500"/>
  </bookViews>
  <sheets>
    <sheet name="Committee Roster" sheetId="1" r:id="rId1"/>
    <sheet name="Position Map" sheetId="2" r:id="rId2"/>
    <sheet name="Partner Institutions" sheetId="4" r:id="rId3"/>
    <sheet name="Summary" sheetId="3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2" l="1"/>
  <c r="B4" i="3"/>
  <c r="B3" i="3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2" i="2"/>
  <c r="D11" i="2"/>
  <c r="D10" i="2"/>
  <c r="D9" i="2"/>
  <c r="D8" i="2"/>
  <c r="D7" i="2"/>
  <c r="D6" i="2"/>
  <c r="D5" i="2"/>
  <c r="D4" i="2"/>
  <c r="B5" i="3" s="1"/>
  <c r="A11" i="1"/>
  <c r="A10" i="1"/>
  <c r="A9" i="1"/>
  <c r="A8" i="1"/>
  <c r="A7" i="1"/>
  <c r="A6" i="1"/>
  <c r="B6" i="3" l="1"/>
</calcChain>
</file>

<file path=xl/sharedStrings.xml><?xml version="1.0" encoding="utf-8"?>
<sst xmlns="http://schemas.openxmlformats.org/spreadsheetml/2006/main" count="111" uniqueCount="87">
  <si>
    <t>Velsanet Research Institute — Preparatory Committee Roster</t>
  </si>
  <si>
    <t>Non-remunerated, intent-only basis. All submitted invitations are public by default.</t>
  </si>
  <si>
    <t>No.</t>
  </si>
  <si>
    <t>Name</t>
  </si>
  <si>
    <t>Affiliation</t>
  </si>
  <si>
    <t>Track / Group</t>
  </si>
  <si>
    <t>Position No(s).</t>
  </si>
  <si>
    <t>Role</t>
  </si>
  <si>
    <t>Effective Date</t>
  </si>
  <si>
    <t>Confirm Method</t>
  </si>
  <si>
    <t>Confirm Text / Evidence</t>
  </si>
  <si>
    <t>Confirm Date/Time</t>
  </si>
  <si>
    <t>Status</t>
  </si>
  <si>
    <t>Eduardo Filho</t>
  </si>
  <si>
    <t>Ⅳ Standardization &amp; Governance</t>
  </si>
  <si>
    <t>11</t>
  </si>
  <si>
    <t>Reviewer / Contributing Member</t>
  </si>
  <si>
    <t>2026-06-13</t>
  </si>
  <si>
    <t>LinkedIn DM</t>
  </si>
  <si>
    <t>"I confirm my participation in the preparatory Committee as described above"</t>
  </si>
  <si>
    <t>2026-06-13 20:03 KST</t>
  </si>
  <si>
    <t>Confirmed</t>
  </si>
  <si>
    <t>Areas of Participation — 23 Positions</t>
  </si>
  <si>
    <t>Group</t>
  </si>
  <si>
    <t>Position</t>
  </si>
  <si>
    <t>Filled By</t>
  </si>
  <si>
    <t>Ⅰ Substrate — Physical Layer</t>
  </si>
  <si>
    <t>Network Engineer — topology design and configuration</t>
  </si>
  <si>
    <t>Mathematician — topology / graph theory (A = f(T))</t>
  </si>
  <si>
    <t>Network Hardware Designer — node and equipment design</t>
  </si>
  <si>
    <t>Optical Component Engineer — optical devices and transceivers</t>
  </si>
  <si>
    <t>Microfabrication (MEMS / Packaging) Engineer</t>
  </si>
  <si>
    <t>Optical Transmission / Systems Engineer — multi-core, 800 Gbps/core</t>
  </si>
  <si>
    <t>Embedded / FPGA · ASIC Engineer — PAI at hardware speed</t>
  </si>
  <si>
    <t>Ⅱ Intelligence</t>
  </si>
  <si>
    <t>Network AI Systems Architect — PAI/AAI/AsAI, Cognition Cube</t>
  </si>
  <si>
    <t>Ⅲ Verification</t>
  </si>
  <si>
    <t>Testbed / Verification Engineer — instrumentation, conformance testing</t>
  </si>
  <si>
    <t>ITU-T Standardization — led by Meta-Architect (Changho Song); contribution support welcome</t>
  </si>
  <si>
    <t>Changho Song (lead)</t>
  </si>
  <si>
    <t>Governance / Accountability Architecture — WP18 / WP21</t>
  </si>
  <si>
    <t>Ⅴ Operations &amp; Partnership</t>
  </si>
  <si>
    <t>Operations — establishment, legal operation, policy, administration</t>
  </si>
  <si>
    <t>SIG Model / Conformance Business — qualification, fees, royalty</t>
  </si>
  <si>
    <t>Partnership &amp; Collaboration — domestic/international, joint research</t>
  </si>
  <si>
    <t>Regional Liaison</t>
  </si>
  <si>
    <t>Africa</t>
  </si>
  <si>
    <t>Asia</t>
  </si>
  <si>
    <t>Europe</t>
  </si>
  <si>
    <t>North America</t>
  </si>
  <si>
    <t>South America</t>
  </si>
  <si>
    <t>Oceania</t>
  </si>
  <si>
    <t>Ⅵ Residency &amp; Research Environment</t>
  </si>
  <si>
    <t>Living Infrastructure — housing and meals</t>
  </si>
  <si>
    <t>Language — English working language; EN/KO education</t>
  </si>
  <si>
    <t>Interpretation &amp; Translation (KO/EN)</t>
  </si>
  <si>
    <t>Ⅶ Culture &amp; Space</t>
  </si>
  <si>
    <t>Artist — creative direction and works for the institute</t>
  </si>
  <si>
    <t>Color Master — color and tonal direction</t>
  </si>
  <si>
    <t>Photographer &amp; Storyteller — visual record and narrative of the institute</t>
  </si>
  <si>
    <t>Ⅷ Mobile Communications / RAN</t>
  </si>
  <si>
    <t>RU / Radio Unit Designer — 6G RAN radio access, multi-user physical mapping (WP22/WP23)</t>
  </si>
  <si>
    <t>RF / Antenna Engineer — RF &amp; antenna design</t>
  </si>
  <si>
    <t>RAN Systems / L1 Engineer — physical-layer signal processing, H6 RAN architecture</t>
  </si>
  <si>
    <t>Ⅸ Optical Access</t>
  </si>
  <si>
    <t>Optical Access / Cabling Engineer — ribbon-cable &amp; connector splicing, deployment</t>
  </si>
  <si>
    <t>✅ filled</t>
  </si>
  <si>
    <t>Committee Summary</t>
  </si>
  <si>
    <t>Total Positions</t>
  </si>
  <si>
    <t>Confirmed Members</t>
  </si>
  <si>
    <t>Positions Filled</t>
  </si>
  <si>
    <t>Open Positions</t>
  </si>
  <si>
    <t>Partner Institutions — Commissioning Plan</t>
  </si>
  <si>
    <r>
      <rPr>
        <i/>
        <sz val="9"/>
        <color rgb="FF808080"/>
        <rFont val="Arial"/>
        <family val="2"/>
      </rPr>
      <t>Formal commissioning (</t>
    </r>
    <r>
      <rPr>
        <i/>
        <sz val="9"/>
        <color rgb="FF808080"/>
        <rFont val="Noto Sans CJK SC"/>
        <family val="2"/>
      </rPr>
      <t>발주</t>
    </r>
    <r>
      <rPr>
        <i/>
        <sz val="9"/>
        <color rgb="FF808080"/>
        <rFont val="Arial"/>
        <family val="2"/>
      </rPr>
      <t>) to take place after incorporation of the operating entity.</t>
    </r>
  </si>
  <si>
    <t>Institution</t>
  </si>
  <si>
    <t>Scope of Work</t>
  </si>
  <si>
    <t>Basis / Prior Engagement</t>
  </si>
  <si>
    <t>Notes</t>
  </si>
  <si>
    <r>
      <rPr>
        <sz val="10"/>
        <rFont val="Arial"/>
        <family val="2"/>
      </rPr>
      <t>Soosung Engineering (</t>
    </r>
    <r>
      <rPr>
        <sz val="10"/>
        <rFont val="Noto Sans CJK SC"/>
        <family val="2"/>
      </rPr>
      <t>수성엔지니어링</t>
    </r>
    <r>
      <rPr>
        <sz val="10"/>
        <rFont val="Arial"/>
        <family val="2"/>
      </rPr>
      <t>)</t>
    </r>
  </si>
  <si>
    <t>Architecture &amp; engineering design; construction supervision</t>
  </si>
  <si>
    <t>Produced design drawings for the future-city and next-generation intersection concepts</t>
  </si>
  <si>
    <t>To be commissioned upon incorporation</t>
  </si>
  <si>
    <t>Existing design collaboration</t>
  </si>
  <si>
    <r>
      <rPr>
        <sz val="10"/>
        <rFont val="Arial"/>
        <family val="2"/>
      </rPr>
      <t>GS E&amp;C (GS</t>
    </r>
    <r>
      <rPr>
        <sz val="10"/>
        <rFont val="Noto Sans CJK SC"/>
        <family val="2"/>
      </rPr>
      <t>건설</t>
    </r>
    <r>
      <rPr>
        <sz val="10"/>
        <rFont val="Arial"/>
        <family val="2"/>
      </rPr>
      <t>)</t>
    </r>
  </si>
  <si>
    <t>Modular residential housing for the research campus</t>
  </si>
  <si>
    <t>Expressed interest in providing modular housing</t>
  </si>
  <si>
    <t>Interest expressed by GS E&amp;C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</si>
</sst>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808080"/>
      <name val="Noto Sans CJK SC"/>
      <family val="2"/>
    </font>
    <font>
      <sz val="10"/>
      <name val="Noto Sans CJK SC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/>
    <xf numFmtId="0" fontId="7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zoomScaleNormal="100" workbookViewId="0">
      <pane ySplit="4" topLeftCell="A5" activePane="bottomLeft" state="frozen"/>
      <selection pane="bottomLeft" activeCell="L13" sqref="L13"/>
    </sheetView>
  </sheetViews>
  <sheetFormatPr defaultColWidth="8.7109375" defaultRowHeight="15"/>
  <cols>
    <col min="1" max="1" width="6" style="4" customWidth="1"/>
    <col min="2" max="2" width="8.5703125" style="4" bestFit="1" customWidth="1"/>
    <col min="3" max="3" width="22" style="4" customWidth="1"/>
    <col min="4" max="4" width="30" style="4" customWidth="1"/>
    <col min="5" max="5" width="14" style="4" customWidth="1"/>
    <col min="6" max="6" width="30" style="4" customWidth="1"/>
    <col min="7" max="8" width="14" style="4" customWidth="1"/>
    <col min="9" max="9" width="46" style="4" customWidth="1"/>
    <col min="10" max="10" width="20" style="4" customWidth="1"/>
    <col min="11" max="11" width="12" style="4" customWidth="1"/>
  </cols>
  <sheetData>
    <row r="1" spans="1:11" ht="19.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/>
    <row r="4" spans="1:11" ht="33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3" customHeight="1">
      <c r="A5" s="6">
        <v>1</v>
      </c>
      <c r="B5" s="7" t="s">
        <v>13</v>
      </c>
      <c r="C5" s="7"/>
      <c r="D5" s="7" t="s">
        <v>14</v>
      </c>
      <c r="E5" s="6" t="s">
        <v>15</v>
      </c>
      <c r="F5" s="7" t="s">
        <v>16</v>
      </c>
      <c r="G5" s="6" t="s">
        <v>17</v>
      </c>
      <c r="H5" s="6" t="s">
        <v>18</v>
      </c>
      <c r="I5" s="7" t="s">
        <v>19</v>
      </c>
      <c r="J5" s="6" t="s">
        <v>20</v>
      </c>
      <c r="K5" s="8" t="s">
        <v>21</v>
      </c>
    </row>
    <row r="6" spans="1:11" ht="15" customHeight="1">
      <c r="A6" s="6" t="str">
        <f t="shared" ref="A6:A11" si="0">IF(B8="","",ROW()-4)</f>
        <v/>
      </c>
      <c r="B6" s="7"/>
      <c r="C6" s="7"/>
      <c r="D6" s="7"/>
      <c r="E6" s="6"/>
      <c r="F6" s="7"/>
      <c r="G6" s="6"/>
      <c r="H6" s="6"/>
      <c r="I6" s="7"/>
      <c r="J6" s="6"/>
      <c r="K6" s="6"/>
    </row>
    <row r="7" spans="1:11" ht="15" customHeight="1">
      <c r="A7" s="6" t="str">
        <f t="shared" si="0"/>
        <v/>
      </c>
      <c r="B7" s="7"/>
      <c r="C7" s="7"/>
      <c r="D7" s="7"/>
      <c r="E7" s="6"/>
      <c r="F7" s="7"/>
      <c r="G7" s="6"/>
      <c r="H7" s="6"/>
      <c r="I7" s="7"/>
      <c r="J7" s="6"/>
      <c r="K7" s="6"/>
    </row>
    <row r="8" spans="1:11" ht="15" customHeight="1">
      <c r="A8" s="6" t="str">
        <f t="shared" si="0"/>
        <v/>
      </c>
      <c r="B8" s="7"/>
      <c r="C8" s="7"/>
      <c r="D8" s="7"/>
      <c r="E8" s="6"/>
      <c r="F8" s="7"/>
      <c r="G8" s="6"/>
      <c r="H8" s="6"/>
      <c r="I8" s="7"/>
      <c r="J8" s="6"/>
      <c r="K8" s="6"/>
    </row>
    <row r="9" spans="1:11" ht="15" customHeight="1">
      <c r="A9" s="6" t="str">
        <f t="shared" si="0"/>
        <v/>
      </c>
      <c r="B9" s="7"/>
      <c r="C9" s="7"/>
      <c r="D9" s="7"/>
      <c r="E9" s="6"/>
      <c r="F9" s="7"/>
      <c r="G9" s="6"/>
      <c r="H9" s="6"/>
      <c r="I9" s="7"/>
      <c r="J9" s="6"/>
      <c r="K9" s="6"/>
    </row>
    <row r="10" spans="1:11" ht="15" customHeight="1">
      <c r="A10" s="6" t="str">
        <f t="shared" si="0"/>
        <v/>
      </c>
      <c r="B10" s="7"/>
      <c r="C10" s="7"/>
      <c r="D10" s="7"/>
      <c r="E10" s="6"/>
      <c r="F10" s="7"/>
      <c r="G10" s="6"/>
      <c r="H10" s="6"/>
      <c r="I10" s="7"/>
      <c r="J10" s="6"/>
      <c r="K10" s="6"/>
    </row>
    <row r="11" spans="1:11" ht="15" customHeight="1">
      <c r="A11" s="6" t="str">
        <f t="shared" si="0"/>
        <v/>
      </c>
      <c r="B11" s="7"/>
      <c r="C11" s="7"/>
      <c r="D11" s="7"/>
      <c r="E11" s="6"/>
      <c r="F11" s="7"/>
      <c r="G11" s="6"/>
      <c r="K11" s="6"/>
    </row>
    <row r="12" spans="1:11" ht="15" customHeight="1"/>
    <row r="13" spans="1:11" ht="15" customHeight="1"/>
  </sheetData>
  <mergeCells count="2">
    <mergeCell ref="A1:K1"/>
    <mergeCell ref="A2:K2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Normal="100" workbookViewId="0">
      <pane ySplit="3" topLeftCell="A4" activePane="bottomLeft" state="frozen"/>
      <selection pane="bottomLeft" activeCell="C39" sqref="C39"/>
    </sheetView>
  </sheetViews>
  <sheetFormatPr defaultColWidth="8.7109375" defaultRowHeight="15"/>
  <cols>
    <col min="1" max="1" width="36" style="4" customWidth="1"/>
    <col min="2" max="2" width="6" style="4" customWidth="1"/>
    <col min="3" max="3" width="70" style="4" customWidth="1"/>
    <col min="4" max="4" width="21" style="4" customWidth="1"/>
  </cols>
  <sheetData>
    <row r="1" spans="1:4" ht="19.5" customHeight="1">
      <c r="A1" s="1" t="s">
        <v>22</v>
      </c>
      <c r="B1" s="1"/>
      <c r="C1" s="1"/>
      <c r="D1" s="1"/>
    </row>
    <row r="2" spans="1:4" ht="15" customHeight="1"/>
    <row r="3" spans="1:4" ht="18" customHeight="1">
      <c r="A3" s="5" t="s">
        <v>23</v>
      </c>
      <c r="B3" s="5" t="s">
        <v>2</v>
      </c>
      <c r="C3" s="5" t="s">
        <v>24</v>
      </c>
      <c r="D3" s="5" t="s">
        <v>25</v>
      </c>
    </row>
    <row r="4" spans="1:4" ht="18" customHeight="1">
      <c r="A4" s="7" t="s">
        <v>26</v>
      </c>
      <c r="B4" s="6">
        <v>1</v>
      </c>
      <c r="C4" s="7" t="s">
        <v>27</v>
      </c>
      <c r="D4" s="7" t="str">
        <f>IFERROR(INDEX('Committee Roster'!$B$5:$B$50,MATCH(TRUE(),ISNUMBER(SEARCH(","&amp;1&amp;",",","&amp;'Committee Roster'!$E$5:$E$50&amp;",")),0)),"")</f>
        <v/>
      </c>
    </row>
    <row r="5" spans="1:4" ht="18" customHeight="1">
      <c r="A5" s="7" t="s">
        <v>26</v>
      </c>
      <c r="B5" s="6">
        <v>2</v>
      </c>
      <c r="C5" s="7" t="s">
        <v>28</v>
      </c>
      <c r="D5" s="7" t="str">
        <f>IFERROR(INDEX('Committee Roster'!$B$5:$B$50,MATCH(TRUE(),ISNUMBER(SEARCH(","&amp;2&amp;",",","&amp;'Committee Roster'!$E$5:$E$50&amp;",")),0)),"")</f>
        <v/>
      </c>
    </row>
    <row r="6" spans="1:4" ht="18" customHeight="1">
      <c r="A6" s="7" t="s">
        <v>26</v>
      </c>
      <c r="B6" s="6">
        <v>3</v>
      </c>
      <c r="C6" s="7" t="s">
        <v>29</v>
      </c>
      <c r="D6" s="7" t="str">
        <f>IFERROR(INDEX('Committee Roster'!$B$5:$B$50,MATCH(TRUE(),ISNUMBER(SEARCH(","&amp;3&amp;",",","&amp;'Committee Roster'!$E$5:$E$50&amp;",")),0)),"")</f>
        <v/>
      </c>
    </row>
    <row r="7" spans="1:4" ht="18" customHeight="1">
      <c r="A7" s="7" t="s">
        <v>26</v>
      </c>
      <c r="B7" s="6">
        <v>4</v>
      </c>
      <c r="C7" s="7" t="s">
        <v>30</v>
      </c>
      <c r="D7" s="7" t="str">
        <f>IFERROR(INDEX('Committee Roster'!$B$5:$B$50,MATCH(TRUE(),ISNUMBER(SEARCH(","&amp;4&amp;",",","&amp;'Committee Roster'!$E$5:$E$50&amp;",")),0)),"")</f>
        <v/>
      </c>
    </row>
    <row r="8" spans="1:4" ht="18" customHeight="1">
      <c r="A8" s="7" t="s">
        <v>26</v>
      </c>
      <c r="B8" s="6">
        <v>5</v>
      </c>
      <c r="C8" s="7" t="s">
        <v>31</v>
      </c>
      <c r="D8" s="7" t="str">
        <f>IFERROR(INDEX('Committee Roster'!$B$5:$B$50,MATCH(TRUE(),ISNUMBER(SEARCH(","&amp;5&amp;",",","&amp;'Committee Roster'!$E$5:$E$50&amp;",")),0)),"")</f>
        <v/>
      </c>
    </row>
    <row r="9" spans="1:4" ht="18" customHeight="1">
      <c r="A9" s="7" t="s">
        <v>26</v>
      </c>
      <c r="B9" s="6">
        <v>6</v>
      </c>
      <c r="C9" s="7" t="s">
        <v>32</v>
      </c>
      <c r="D9" s="7" t="str">
        <f>IFERROR(INDEX('Committee Roster'!$B$5:$B$50,MATCH(TRUE(),ISNUMBER(SEARCH(","&amp;6&amp;",",","&amp;'Committee Roster'!$E$5:$E$50&amp;",")),0)),"")</f>
        <v/>
      </c>
    </row>
    <row r="10" spans="1:4" ht="18" customHeight="1">
      <c r="A10" s="7" t="s">
        <v>26</v>
      </c>
      <c r="B10" s="6">
        <v>7</v>
      </c>
      <c r="C10" s="7" t="s">
        <v>33</v>
      </c>
      <c r="D10" s="7" t="str">
        <f>IFERROR(INDEX('Committee Roster'!$B$5:$B$50,MATCH(TRUE(),ISNUMBER(SEARCH(","&amp;7&amp;",",","&amp;'Committee Roster'!$E$5:$E$50&amp;",")),0)),"")</f>
        <v/>
      </c>
    </row>
    <row r="11" spans="1:4" ht="18" customHeight="1">
      <c r="A11" s="7" t="s">
        <v>34</v>
      </c>
      <c r="B11" s="6">
        <v>8</v>
      </c>
      <c r="C11" s="7" t="s">
        <v>35</v>
      </c>
      <c r="D11" s="7" t="str">
        <f>IFERROR(INDEX('Committee Roster'!$B$5:$B$50,MATCH(TRUE(),ISNUMBER(SEARCH(","&amp;8&amp;",",","&amp;'Committee Roster'!$E$5:$E$50&amp;",")),0)),"")</f>
        <v/>
      </c>
    </row>
    <row r="12" spans="1:4" ht="33" customHeight="1">
      <c r="A12" s="7" t="s">
        <v>36</v>
      </c>
      <c r="B12" s="6">
        <v>9</v>
      </c>
      <c r="C12" s="7" t="s">
        <v>37</v>
      </c>
      <c r="D12" s="7" t="str">
        <f>IFERROR(INDEX('Committee Roster'!$B$5:$B$50,MATCH(TRUE(),ISNUMBER(SEARCH(","&amp;9&amp;",",","&amp;'Committee Roster'!$E$5:$E$50&amp;",")),0)),"")</f>
        <v/>
      </c>
    </row>
    <row r="13" spans="1:4" ht="33" customHeight="1">
      <c r="A13" s="7" t="s">
        <v>14</v>
      </c>
      <c r="B13" s="6">
        <v>10</v>
      </c>
      <c r="C13" s="7" t="s">
        <v>38</v>
      </c>
      <c r="D13" s="9" t="s">
        <v>39</v>
      </c>
    </row>
    <row r="14" spans="1:4" ht="18" customHeight="1">
      <c r="A14" s="7" t="s">
        <v>14</v>
      </c>
      <c r="B14" s="6">
        <v>11</v>
      </c>
      <c r="C14" s="7" t="s">
        <v>40</v>
      </c>
      <c r="D14" s="9" t="str">
        <f>'Committee Roster'!B5</f>
        <v>Eduardo Filho</v>
      </c>
    </row>
    <row r="15" spans="1:4" ht="18" customHeight="1">
      <c r="A15" s="7" t="s">
        <v>41</v>
      </c>
      <c r="B15" s="6">
        <v>12</v>
      </c>
      <c r="C15" s="7" t="s">
        <v>42</v>
      </c>
      <c r="D15" s="7" t="str">
        <f>IFERROR(INDEX('Committee Roster'!$B$5:$B$50,MATCH(TRUE(),ISNUMBER(SEARCH(","&amp;12&amp;",",","&amp;'Committee Roster'!$E$5:$E$50&amp;",")),0)),"")</f>
        <v/>
      </c>
    </row>
    <row r="16" spans="1:4" ht="18" customHeight="1">
      <c r="A16" s="7" t="s">
        <v>41</v>
      </c>
      <c r="B16" s="6">
        <v>13</v>
      </c>
      <c r="C16" s="7" t="s">
        <v>43</v>
      </c>
      <c r="D16" s="7" t="str">
        <f>IFERROR(INDEX('Committee Roster'!$B$5:$B$50,MATCH(TRUE(),ISNUMBER(SEARCH(","&amp;13&amp;",",","&amp;'Committee Roster'!$E$5:$E$50&amp;",")),0)),"")</f>
        <v/>
      </c>
    </row>
    <row r="17" spans="1:4" ht="18" customHeight="1">
      <c r="A17" s="7" t="s">
        <v>41</v>
      </c>
      <c r="B17" s="6">
        <v>14</v>
      </c>
      <c r="C17" s="7" t="s">
        <v>44</v>
      </c>
      <c r="D17" s="7" t="str">
        <f>IFERROR(INDEX('Committee Roster'!$B$5:$B$50,MATCH(TRUE(),ISNUMBER(SEARCH(","&amp;14&amp;",",","&amp;'Committee Roster'!$E$5:$E$50&amp;",")),0)),"")</f>
        <v/>
      </c>
    </row>
    <row r="18" spans="1:4" ht="18" customHeight="1">
      <c r="A18" s="7" t="s">
        <v>45</v>
      </c>
      <c r="B18" s="6">
        <v>15</v>
      </c>
      <c r="C18" s="7" t="s">
        <v>46</v>
      </c>
      <c r="D18" s="7" t="str">
        <f>IFERROR(INDEX('Committee Roster'!$B$5:$B$50,MATCH(TRUE(),ISNUMBER(SEARCH(","&amp;15&amp;",",","&amp;'Committee Roster'!$E$5:$E$50&amp;",")),0)),"")</f>
        <v/>
      </c>
    </row>
    <row r="19" spans="1:4" ht="18" customHeight="1">
      <c r="A19" s="7" t="s">
        <v>45</v>
      </c>
      <c r="B19" s="6">
        <v>16</v>
      </c>
      <c r="C19" s="7" t="s">
        <v>47</v>
      </c>
      <c r="D19" s="7" t="str">
        <f>IFERROR(INDEX('Committee Roster'!$B$5:$B$50,MATCH(TRUE(),ISNUMBER(SEARCH(","&amp;16&amp;",",","&amp;'Committee Roster'!$E$5:$E$50&amp;",")),0)),"")</f>
        <v/>
      </c>
    </row>
    <row r="20" spans="1:4" ht="18" customHeight="1">
      <c r="A20" s="7" t="s">
        <v>45</v>
      </c>
      <c r="B20" s="6">
        <v>17</v>
      </c>
      <c r="C20" s="7" t="s">
        <v>48</v>
      </c>
      <c r="D20" s="7" t="str">
        <f>IFERROR(INDEX('Committee Roster'!$B$5:$B$50,MATCH(TRUE(),ISNUMBER(SEARCH(","&amp;17&amp;",",","&amp;'Committee Roster'!$E$5:$E$50&amp;",")),0)),"")</f>
        <v/>
      </c>
    </row>
    <row r="21" spans="1:4" ht="18" customHeight="1">
      <c r="A21" s="7" t="s">
        <v>45</v>
      </c>
      <c r="B21" s="6">
        <v>18</v>
      </c>
      <c r="C21" s="7" t="s">
        <v>49</v>
      </c>
      <c r="D21" s="7" t="str">
        <f>IFERROR(INDEX('Committee Roster'!$B$5:$B$50,MATCH(TRUE(),ISNUMBER(SEARCH(","&amp;18&amp;",",","&amp;'Committee Roster'!$E$5:$E$50&amp;",")),0)),"")</f>
        <v/>
      </c>
    </row>
    <row r="22" spans="1:4" ht="18" customHeight="1">
      <c r="A22" s="7" t="s">
        <v>45</v>
      </c>
      <c r="B22" s="6">
        <v>19</v>
      </c>
      <c r="C22" s="7" t="s">
        <v>50</v>
      </c>
      <c r="D22" s="7" t="str">
        <f>IFERROR(INDEX('Committee Roster'!$B$5:$B$50,MATCH(TRUE(),ISNUMBER(SEARCH(","&amp;19&amp;",",","&amp;'Committee Roster'!$E$5:$E$50&amp;",")),0)),"")</f>
        <v/>
      </c>
    </row>
    <row r="23" spans="1:4" ht="18" customHeight="1">
      <c r="A23" s="7" t="s">
        <v>45</v>
      </c>
      <c r="B23" s="6">
        <v>20</v>
      </c>
      <c r="C23" s="7" t="s">
        <v>51</v>
      </c>
      <c r="D23" s="7" t="str">
        <f>IFERROR(INDEX('Committee Roster'!$B$5:$B$50,MATCH(TRUE(),ISNUMBER(SEARCH(","&amp;20&amp;",",","&amp;'Committee Roster'!$E$5:$E$50&amp;",")),0)),"")</f>
        <v/>
      </c>
    </row>
    <row r="24" spans="1:4" ht="18" customHeight="1">
      <c r="A24" s="7" t="s">
        <v>52</v>
      </c>
      <c r="B24" s="6">
        <v>21</v>
      </c>
      <c r="C24" s="7" t="s">
        <v>53</v>
      </c>
      <c r="D24" s="7" t="str">
        <f>IFERROR(INDEX('Committee Roster'!$B$5:$B$50,MATCH(TRUE(),ISNUMBER(SEARCH(","&amp;21&amp;",",","&amp;'Committee Roster'!$E$5:$E$50&amp;",")),0)),"")</f>
        <v/>
      </c>
    </row>
    <row r="25" spans="1:4" ht="18" customHeight="1">
      <c r="A25" s="7" t="s">
        <v>52</v>
      </c>
      <c r="B25" s="6">
        <v>22</v>
      </c>
      <c r="C25" s="7" t="s">
        <v>54</v>
      </c>
      <c r="D25" s="7" t="str">
        <f>IFERROR(INDEX('Committee Roster'!$B$5:$B$50,MATCH(TRUE(),ISNUMBER(SEARCH(","&amp;22&amp;",",","&amp;'Committee Roster'!$E$5:$E$50&amp;",")),0)),"")</f>
        <v/>
      </c>
    </row>
    <row r="26" spans="1:4" ht="18" customHeight="1">
      <c r="A26" s="7" t="s">
        <v>52</v>
      </c>
      <c r="B26" s="6">
        <v>23</v>
      </c>
      <c r="C26" s="7" t="s">
        <v>55</v>
      </c>
      <c r="D26" s="7" t="str">
        <f>IFERROR(INDEX('Committee Roster'!$B$5:$B$50,MATCH(TRUE(),ISNUMBER(SEARCH(","&amp;23&amp;",",","&amp;'Committee Roster'!$E$5:$E$50&amp;",")),0)),"")</f>
        <v/>
      </c>
    </row>
    <row r="27" spans="1:4" ht="18" customHeight="1">
      <c r="A27" s="7" t="s">
        <v>56</v>
      </c>
      <c r="B27" s="6">
        <v>24</v>
      </c>
      <c r="C27" s="7" t="s">
        <v>57</v>
      </c>
      <c r="D27" s="7" t="str">
        <f>IFERROR(INDEX('Committee Roster'!$B$5:$B$50,MATCH(TRUE(),ISNUMBER(SEARCH(","&amp;24&amp;",",","&amp;'Committee Roster'!$E$5:$E$50&amp;",")),0)),"")</f>
        <v/>
      </c>
    </row>
    <row r="28" spans="1:4" ht="18" customHeight="1">
      <c r="A28" s="7" t="s">
        <v>56</v>
      </c>
      <c r="B28" s="6">
        <v>25</v>
      </c>
      <c r="C28" s="7" t="s">
        <v>58</v>
      </c>
      <c r="D28" s="7" t="str">
        <f>IFERROR(INDEX('Committee Roster'!$B$5:$B$50,MATCH(TRUE(),ISNUMBER(SEARCH(","&amp;25&amp;",",","&amp;'Committee Roster'!$E$5:$E$50&amp;",")),0)),"")</f>
        <v/>
      </c>
    </row>
    <row r="29" spans="1:4" ht="33" customHeight="1">
      <c r="A29" s="7" t="s">
        <v>56</v>
      </c>
      <c r="B29" s="6">
        <v>26</v>
      </c>
      <c r="C29" s="7" t="s">
        <v>59</v>
      </c>
      <c r="D29" s="7" t="str">
        <f>IFERROR(INDEX('Committee Roster'!$B$5:$B$50,MATCH(TRUE(),ISNUMBER(SEARCH(","&amp;26&amp;",",","&amp;'Committee Roster'!$E$5:$E$50&amp;",")),0)),"")</f>
        <v/>
      </c>
    </row>
    <row r="30" spans="1:4" ht="33" customHeight="1">
      <c r="A30" s="7" t="s">
        <v>60</v>
      </c>
      <c r="B30" s="6">
        <v>27</v>
      </c>
      <c r="C30" s="7" t="s">
        <v>61</v>
      </c>
      <c r="D30" s="7" t="str">
        <f>IFERROR(INDEX('Committee Roster'!$B$5:$B$50,MATCH(TRUE(),ISNUMBER(SEARCH(","&amp;27&amp;",",","&amp;'Committee Roster'!$E$5:$E$50&amp;",")),0)),"")</f>
        <v/>
      </c>
    </row>
    <row r="31" spans="1:4" ht="18" customHeight="1">
      <c r="A31" s="7" t="s">
        <v>60</v>
      </c>
      <c r="B31" s="6">
        <v>28</v>
      </c>
      <c r="C31" s="7" t="s">
        <v>62</v>
      </c>
      <c r="D31" s="7" t="str">
        <f>IFERROR(INDEX('Committee Roster'!$B$5:$B$50,MATCH(TRUE(),ISNUMBER(SEARCH(","&amp;28&amp;",",","&amp;'Committee Roster'!$E$5:$E$50&amp;",")),0)),"")</f>
        <v/>
      </c>
    </row>
    <row r="32" spans="1:4" ht="33" customHeight="1">
      <c r="A32" s="7" t="s">
        <v>60</v>
      </c>
      <c r="B32" s="6">
        <v>29</v>
      </c>
      <c r="C32" s="7" t="s">
        <v>63</v>
      </c>
      <c r="D32" s="7" t="str">
        <f>IFERROR(INDEX('Committee Roster'!$B$5:$B$50,MATCH(TRUE(),ISNUMBER(SEARCH(","&amp;29&amp;",",","&amp;'Committee Roster'!$E$5:$E$50&amp;",")),0)),"")</f>
        <v/>
      </c>
    </row>
    <row r="33" spans="1:4" ht="33" customHeight="1">
      <c r="A33" s="7" t="s">
        <v>64</v>
      </c>
      <c r="B33" s="6">
        <v>30</v>
      </c>
      <c r="C33" s="7" t="s">
        <v>65</v>
      </c>
      <c r="D33" s="9" t="s">
        <v>66</v>
      </c>
    </row>
  </sheetData>
  <mergeCells count="1">
    <mergeCell ref="A1:D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Normal="100" workbookViewId="0">
      <pane ySplit="4" topLeftCell="A5" activePane="bottomLeft" state="frozen"/>
      <selection pane="bottomLeft" sqref="A1:E1"/>
    </sheetView>
  </sheetViews>
  <sheetFormatPr defaultColWidth="8.7109375" defaultRowHeight="15"/>
  <cols>
    <col min="1" max="2" width="30" style="4" customWidth="1"/>
    <col min="3" max="3" width="42" style="4" customWidth="1"/>
    <col min="4" max="5" width="26" style="4" customWidth="1"/>
  </cols>
  <sheetData>
    <row r="1" spans="1:5" ht="19.5" customHeight="1">
      <c r="A1" s="1" t="s">
        <v>72</v>
      </c>
      <c r="B1" s="1"/>
      <c r="C1" s="1"/>
      <c r="D1" s="1"/>
      <c r="E1" s="1"/>
    </row>
    <row r="2" spans="1:5" ht="15" customHeight="1">
      <c r="A2" s="2" t="s">
        <v>73</v>
      </c>
      <c r="B2" s="2"/>
      <c r="C2" s="2"/>
      <c r="D2" s="2"/>
      <c r="E2" s="2"/>
    </row>
    <row r="3" spans="1:5" ht="18" customHeight="1"/>
    <row r="4" spans="1:5" ht="33" customHeight="1">
      <c r="A4" s="5" t="s">
        <v>74</v>
      </c>
      <c r="B4" s="5" t="s">
        <v>75</v>
      </c>
      <c r="C4" s="5" t="s">
        <v>76</v>
      </c>
      <c r="D4" s="5" t="s">
        <v>12</v>
      </c>
      <c r="E4" s="5" t="s">
        <v>77</v>
      </c>
    </row>
    <row r="5" spans="1:5" ht="78" customHeight="1">
      <c r="A5" s="7" t="s">
        <v>78</v>
      </c>
      <c r="B5" s="7" t="s">
        <v>79</v>
      </c>
      <c r="C5" s="7" t="s">
        <v>80</v>
      </c>
      <c r="D5" s="12" t="s">
        <v>81</v>
      </c>
      <c r="E5" s="7" t="s">
        <v>82</v>
      </c>
    </row>
    <row r="6" spans="1:5" ht="78" customHeight="1">
      <c r="A6" s="7" t="s">
        <v>83</v>
      </c>
      <c r="B6" s="7" t="s">
        <v>84</v>
      </c>
      <c r="C6" s="7" t="s">
        <v>85</v>
      </c>
      <c r="D6" s="12" t="s">
        <v>81</v>
      </c>
      <c r="E6" s="7" t="s">
        <v>86</v>
      </c>
    </row>
    <row r="7" spans="1:5" ht="18" customHeight="1">
      <c r="A7" s="7"/>
      <c r="B7" s="7"/>
      <c r="C7" s="7"/>
      <c r="D7" s="7"/>
      <c r="E7" s="7"/>
    </row>
    <row r="8" spans="1:5" ht="18" customHeight="1">
      <c r="A8" s="7"/>
      <c r="B8" s="7"/>
      <c r="C8" s="7"/>
      <c r="D8" s="7"/>
      <c r="E8" s="7"/>
    </row>
    <row r="9" spans="1:5" ht="18" customHeight="1">
      <c r="A9" s="7"/>
      <c r="B9" s="7"/>
      <c r="C9" s="7"/>
      <c r="D9" s="7"/>
      <c r="E9" s="7"/>
    </row>
    <row r="10" spans="1:5" ht="18" customHeight="1">
      <c r="A10" s="7"/>
      <c r="B10" s="7"/>
      <c r="C10" s="7"/>
      <c r="D10" s="7"/>
      <c r="E10" s="7"/>
    </row>
  </sheetData>
  <mergeCells count="2">
    <mergeCell ref="A1:E1"/>
    <mergeCell ref="A2:E2"/>
  </mergeCells>
  <phoneticPr fontId="12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Normal="100" workbookViewId="0">
      <selection sqref="A1:B1"/>
    </sheetView>
  </sheetViews>
  <sheetFormatPr defaultColWidth="8.7109375" defaultRowHeight="15"/>
  <cols>
    <col min="1" max="1" width="19" style="4" customWidth="1"/>
    <col min="2" max="2" width="15" style="4" customWidth="1"/>
  </cols>
  <sheetData>
    <row r="1" spans="1:2" ht="19.5" customHeight="1">
      <c r="A1" s="1" t="s">
        <v>67</v>
      </c>
      <c r="B1" s="1"/>
    </row>
    <row r="2" spans="1:2" ht="15" customHeight="1"/>
    <row r="3" spans="1:2" ht="18" customHeight="1">
      <c r="A3" s="10" t="s">
        <v>68</v>
      </c>
      <c r="B3" s="11">
        <f>COUNTA('Position Map'!C4:C33)</f>
        <v>30</v>
      </c>
    </row>
    <row r="4" spans="1:2" ht="18" customHeight="1">
      <c r="A4" s="10" t="s">
        <v>69</v>
      </c>
      <c r="B4" s="11">
        <f>COUNTIF('Committee Roster'!K5:K50,"Confirmed")</f>
        <v>1</v>
      </c>
    </row>
    <row r="5" spans="1:2" ht="18" customHeight="1">
      <c r="A5" s="10" t="s">
        <v>70</v>
      </c>
      <c r="B5" s="11">
        <f>SUMPRODUCT(--(LEN('Position Map'!D4:D33)&gt;0))</f>
        <v>3</v>
      </c>
    </row>
    <row r="6" spans="1:2" ht="18" customHeight="1">
      <c r="A6" s="10" t="s">
        <v>71</v>
      </c>
      <c r="B6" s="11">
        <f>B3-B5</f>
        <v>27</v>
      </c>
    </row>
  </sheetData>
  <mergeCells count="1">
    <mergeCell ref="A1:B1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Committee Roster</vt:lpstr>
      <vt:lpstr>Position Map</vt:lpstr>
      <vt:lpstr>Partner Institutions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Master</cp:lastModifiedBy>
  <cp:revision>0</cp:revision>
  <dcterms:created xsi:type="dcterms:W3CDTF">2026-06-13T11:12:56Z</dcterms:created>
  <dcterms:modified xsi:type="dcterms:W3CDTF">2026-06-13T12:49:26Z</dcterms:modified>
  <dc:language>en-US</dc:language>
</cp:coreProperties>
</file>