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bookViews>
    <workbookView xWindow="0" yWindow="0" windowWidth="21570" windowHeight="8040" tabRatio="500"/>
  </bookViews>
  <sheets>
    <sheet name="Committee Roster" sheetId="1" r:id="rId1"/>
    <sheet name="Position Map" sheetId="2" r:id="rId2"/>
    <sheet name="Summary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4" i="2" l="1"/>
  <c r="B4" i="3" l="1"/>
  <c r="B3" i="3"/>
  <c r="D30" i="2"/>
  <c r="D29" i="2"/>
  <c r="D28" i="2"/>
  <c r="B5" i="3" s="1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2" i="2"/>
  <c r="D11" i="2"/>
  <c r="D10" i="2"/>
  <c r="D9" i="2"/>
  <c r="D8" i="2"/>
  <c r="D7" i="2"/>
  <c r="D6" i="2"/>
  <c r="D5" i="2"/>
  <c r="D4" i="2"/>
  <c r="A11" i="1"/>
  <c r="A10" i="1"/>
  <c r="A9" i="1"/>
  <c r="A8" i="1"/>
  <c r="A7" i="1"/>
  <c r="A6" i="1"/>
  <c r="B6" i="3" l="1"/>
</calcChain>
</file>

<file path=xl/sharedStrings.xml><?xml version="1.0" encoding="utf-8"?>
<sst xmlns="http://schemas.openxmlformats.org/spreadsheetml/2006/main" count="87" uniqueCount="67">
  <si>
    <t>Velsanet Research Institute — Preparatory Committee Roster</t>
  </si>
  <si>
    <t>Non-remunerated, intent-only basis. All submitted invitations are public by default.</t>
  </si>
  <si>
    <t>No.</t>
  </si>
  <si>
    <t>Name</t>
  </si>
  <si>
    <t>Affiliation</t>
  </si>
  <si>
    <t>Track / Group</t>
  </si>
  <si>
    <t>Position No(s).</t>
  </si>
  <si>
    <t>Role</t>
  </si>
  <si>
    <t>Effective Date</t>
  </si>
  <si>
    <t>Confirm Method</t>
  </si>
  <si>
    <t>Confirm Text / Evidence</t>
  </si>
  <si>
    <t>Confirm Date/Time</t>
  </si>
  <si>
    <t>Status</t>
  </si>
  <si>
    <t>Eduardo Filho</t>
  </si>
  <si>
    <t>Ⅳ Standardization &amp; Governance</t>
  </si>
  <si>
    <t>11</t>
  </si>
  <si>
    <t>Reviewer / Contributing Member</t>
  </si>
  <si>
    <t>2026-06-13</t>
  </si>
  <si>
    <t>LinkedIn DM</t>
  </si>
  <si>
    <t>"I confirm my participation in the preparatory Committee as described above"</t>
  </si>
  <si>
    <t>2026-06-13 20:03 KST</t>
  </si>
  <si>
    <t>Confirmed</t>
  </si>
  <si>
    <t>Areas of Participation — 23 Positions</t>
  </si>
  <si>
    <t>Group</t>
  </si>
  <si>
    <t>Position</t>
  </si>
  <si>
    <t>Filled By</t>
  </si>
  <si>
    <t>Ⅰ Substrate — Physical Layer</t>
  </si>
  <si>
    <t>Network Engineer — topology design and configuration</t>
  </si>
  <si>
    <t>Mathematician — topology / graph theory (A = f(T))</t>
  </si>
  <si>
    <t>Network Hardware Designer — node and equipment design</t>
  </si>
  <si>
    <t>Optical Component Engineer — optical devices and transceivers</t>
  </si>
  <si>
    <t>Microfabrication (MEMS / Packaging) Engineer</t>
  </si>
  <si>
    <t>Optical Transmission / Systems Engineer — multi-core, 800 Gbps/core</t>
  </si>
  <si>
    <t>Embedded / FPGA · ASIC Engineer — PAI at hardware speed</t>
  </si>
  <si>
    <t>Ⅱ Intelligence</t>
  </si>
  <si>
    <t>Network AI Systems Architect — PAI/AAI/AsAI, Cognition Cube</t>
  </si>
  <si>
    <t>Ⅲ Verification</t>
  </si>
  <si>
    <t>Testbed / Verification Engineer — instrumentation, conformance testing</t>
  </si>
  <si>
    <t>ITU-T Standardization — led by Meta-Architect (Changho Song); contribution support welcome</t>
  </si>
  <si>
    <t>Changho Song (lead)</t>
  </si>
  <si>
    <t>Governance / Accountability Architecture — WP18 / WP21</t>
  </si>
  <si>
    <t>Ⅴ Operations &amp; Partnership</t>
  </si>
  <si>
    <t>Operations — establishment, legal operation, policy, administration</t>
  </si>
  <si>
    <t>SIG Model / Conformance Business — qualification, fees, royalty</t>
  </si>
  <si>
    <t>Partnership &amp; Collaboration — domestic/international, joint research</t>
  </si>
  <si>
    <t>Regional Liaison</t>
  </si>
  <si>
    <t>Africa</t>
  </si>
  <si>
    <t>Asia</t>
  </si>
  <si>
    <t>Europe</t>
  </si>
  <si>
    <t>North America</t>
  </si>
  <si>
    <t>South America</t>
  </si>
  <si>
    <t>Oceania</t>
  </si>
  <si>
    <t>Ⅵ Residency &amp; Research Environment</t>
  </si>
  <si>
    <t>Living Infrastructure — housing and meals</t>
  </si>
  <si>
    <t>Language — English working language; EN/KO education</t>
  </si>
  <si>
    <t>Interpretation &amp; Translation (KO/EN)</t>
  </si>
  <si>
    <t>Ⅶ Culture &amp; Space</t>
  </si>
  <si>
    <t>Artist — creative direction and works for the institute</t>
  </si>
  <si>
    <t>Color Master — color and tonal direction</t>
  </si>
  <si>
    <t>Photographer &amp; Storyteller — visual record and narrative of the institute</t>
  </si>
  <si>
    <t>Ⅷ Mobile Communications / RAN</t>
  </si>
  <si>
    <t>RU / Radio Unit Designer — 6G RAN radio access, multi-user physical mapping (WP22/WP23)</t>
  </si>
  <si>
    <t>Committee Summary</t>
  </si>
  <si>
    <t>Total Positions</t>
  </si>
  <si>
    <t>Confirmed Members</t>
  </si>
  <si>
    <t>Positions Filled</t>
  </si>
  <si>
    <t>Open Positions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</si>
</sst>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006100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D9E1F2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1" xfId="0" applyFont="1" applyBorder="1" applyAlignment="1"/>
    <xf numFmtId="0" fontId="7" fillId="4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Border="1" applyAlignment="1"/>
    <xf numFmtId="0" fontId="1" fillId="0" borderId="0" xfId="0" applyFont="1" applyBorder="1" applyAlignme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tabSelected="1" zoomScaleNormal="100" workbookViewId="0">
      <pane ySplit="4" topLeftCell="A5" activePane="bottomLeft" state="frozen"/>
      <selection pane="bottomLeft" activeCell="F11" sqref="F11"/>
    </sheetView>
  </sheetViews>
  <sheetFormatPr defaultColWidth="8.7109375" defaultRowHeight="15" x14ac:dyDescent="0.25"/>
  <cols>
    <col min="1" max="1" width="6" style="1" customWidth="1"/>
    <col min="2" max="2" width="18" style="1" customWidth="1"/>
    <col min="3" max="3" width="22" style="1" customWidth="1"/>
    <col min="4" max="4" width="30" style="1" customWidth="1"/>
    <col min="5" max="5" width="14" style="1" customWidth="1"/>
    <col min="6" max="6" width="28" style="1" customWidth="1"/>
    <col min="7" max="7" width="14" style="1" customWidth="1"/>
    <col min="8" max="8" width="16" style="1" customWidth="1"/>
    <col min="9" max="9" width="44" style="1" customWidth="1"/>
    <col min="10" max="10" width="20" style="1" customWidth="1"/>
    <col min="11" max="11" width="12" style="1" customWidth="1"/>
  </cols>
  <sheetData>
    <row r="1" spans="1:11" ht="17.25" customHeight="1" x14ac:dyDescent="0.25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 ht="15" customHeight="1" x14ac:dyDescent="0.25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4" spans="1:11" ht="30" customHeight="1" x14ac:dyDescent="0.2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</row>
    <row r="5" spans="1:11" ht="25.5" x14ac:dyDescent="0.25">
      <c r="A5" s="3">
        <v>1</v>
      </c>
      <c r="B5" s="4" t="s">
        <v>13</v>
      </c>
      <c r="C5" s="4"/>
      <c r="D5" s="4" t="s">
        <v>14</v>
      </c>
      <c r="E5" s="3" t="s">
        <v>15</v>
      </c>
      <c r="F5" s="4" t="s">
        <v>16</v>
      </c>
      <c r="G5" s="3" t="s">
        <v>17</v>
      </c>
      <c r="H5" s="3" t="s">
        <v>18</v>
      </c>
      <c r="I5" s="4" t="s">
        <v>19</v>
      </c>
      <c r="J5" s="3" t="s">
        <v>20</v>
      </c>
      <c r="K5" s="5" t="s">
        <v>21</v>
      </c>
    </row>
    <row r="6" spans="1:11" ht="15" customHeight="1" x14ac:dyDescent="0.25">
      <c r="A6" s="3" t="str">
        <f t="shared" ref="A6:A11" si="0">IF(B8="","",ROW()-4)</f>
        <v/>
      </c>
      <c r="B6" s="4"/>
      <c r="C6" s="4"/>
      <c r="D6" s="4"/>
      <c r="E6" s="3"/>
      <c r="F6" s="4"/>
      <c r="G6" s="3"/>
      <c r="H6" s="3"/>
      <c r="I6" s="4"/>
      <c r="J6" s="3"/>
      <c r="K6" s="3"/>
    </row>
    <row r="7" spans="1:11" ht="15" customHeight="1" x14ac:dyDescent="0.25">
      <c r="A7" s="3" t="str">
        <f t="shared" si="0"/>
        <v/>
      </c>
      <c r="B7" s="4"/>
      <c r="C7" s="4"/>
      <c r="D7" s="4"/>
      <c r="E7" s="3"/>
      <c r="F7" s="4"/>
      <c r="G7" s="3"/>
      <c r="H7" s="3"/>
      <c r="I7" s="4"/>
      <c r="J7" s="3"/>
      <c r="K7" s="3"/>
    </row>
    <row r="8" spans="1:11" ht="15" customHeight="1" x14ac:dyDescent="0.25">
      <c r="A8" s="3" t="str">
        <f t="shared" si="0"/>
        <v/>
      </c>
      <c r="B8" s="4"/>
      <c r="C8" s="4"/>
      <c r="D8" s="4"/>
      <c r="E8" s="3"/>
      <c r="F8" s="4"/>
      <c r="G8" s="3"/>
      <c r="H8" s="3"/>
      <c r="I8" s="4"/>
      <c r="J8" s="3"/>
      <c r="K8" s="3"/>
    </row>
    <row r="9" spans="1:11" ht="15" customHeight="1" x14ac:dyDescent="0.25">
      <c r="A9" s="3" t="str">
        <f t="shared" si="0"/>
        <v/>
      </c>
      <c r="B9" s="4"/>
      <c r="C9" s="4"/>
      <c r="D9" s="4"/>
      <c r="E9" s="3"/>
      <c r="F9" s="4"/>
      <c r="G9" s="3"/>
      <c r="H9" s="3"/>
      <c r="I9" s="4"/>
      <c r="J9" s="3"/>
      <c r="K9" s="3"/>
    </row>
    <row r="10" spans="1:11" ht="15" customHeight="1" x14ac:dyDescent="0.25">
      <c r="A10" s="3" t="str">
        <f t="shared" si="0"/>
        <v/>
      </c>
      <c r="B10" s="4"/>
      <c r="C10" s="4"/>
      <c r="D10" s="4"/>
      <c r="E10" s="3"/>
      <c r="F10" s="4"/>
      <c r="G10" s="3"/>
      <c r="H10" s="3"/>
      <c r="I10" s="4"/>
      <c r="J10" s="3"/>
      <c r="K10" s="3"/>
    </row>
    <row r="11" spans="1:11" ht="15" customHeight="1" x14ac:dyDescent="0.25">
      <c r="A11" s="3" t="str">
        <f t="shared" si="0"/>
        <v/>
      </c>
      <c r="B11" s="4"/>
      <c r="C11" s="4"/>
      <c r="D11" s="4"/>
      <c r="E11" s="3"/>
      <c r="F11" s="4"/>
      <c r="G11" s="3"/>
      <c r="K11" s="3"/>
    </row>
    <row r="12" spans="1:11" ht="15" customHeight="1" x14ac:dyDescent="0.25"/>
    <row r="13" spans="1:11" ht="15" customHeight="1" x14ac:dyDescent="0.25"/>
  </sheetData>
  <mergeCells count="2">
    <mergeCell ref="A1:K1"/>
    <mergeCell ref="A2:K2"/>
  </mergeCells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zoomScaleNormal="100" workbookViewId="0">
      <pane ySplit="3" topLeftCell="A4" activePane="bottomLeft" state="frozen"/>
      <selection pane="bottomLeft" activeCell="D15" sqref="D15"/>
    </sheetView>
  </sheetViews>
  <sheetFormatPr defaultColWidth="8.7109375" defaultRowHeight="15" x14ac:dyDescent="0.25"/>
  <cols>
    <col min="1" max="1" width="30" style="1" customWidth="1"/>
    <col min="2" max="2" width="6" style="1" customWidth="1"/>
    <col min="3" max="3" width="55" style="1" customWidth="1"/>
    <col min="4" max="4" width="20" style="1" customWidth="1"/>
  </cols>
  <sheetData>
    <row r="1" spans="1:4" ht="17.25" customHeight="1" x14ac:dyDescent="0.25">
      <c r="A1" s="12" t="s">
        <v>22</v>
      </c>
      <c r="B1" s="12"/>
      <c r="C1" s="12"/>
      <c r="D1" s="12"/>
    </row>
    <row r="3" spans="1:4" ht="24" customHeight="1" x14ac:dyDescent="0.25">
      <c r="A3" s="2" t="s">
        <v>23</v>
      </c>
      <c r="B3" s="2" t="s">
        <v>2</v>
      </c>
      <c r="C3" s="2" t="s">
        <v>24</v>
      </c>
      <c r="D3" s="2" t="s">
        <v>25</v>
      </c>
    </row>
    <row r="4" spans="1:4" s="9" customFormat="1" ht="15" customHeight="1" x14ac:dyDescent="0.25">
      <c r="A4" s="4" t="s">
        <v>26</v>
      </c>
      <c r="B4" s="3">
        <v>1</v>
      </c>
      <c r="C4" s="4" t="s">
        <v>27</v>
      </c>
      <c r="D4" s="4" t="str">
        <f>IFERROR(INDEX('Committee Roster'!$B$5:$B$50,MATCH(TRUE(),ISNUMBER(SEARCH(","&amp;1&amp;",",","&amp;'Committee Roster'!$E$5:$E$50&amp;",")),0)),"")</f>
        <v/>
      </c>
    </row>
    <row r="5" spans="1:4" s="9" customFormat="1" ht="15" customHeight="1" x14ac:dyDescent="0.25">
      <c r="A5" s="4" t="s">
        <v>26</v>
      </c>
      <c r="B5" s="3">
        <v>2</v>
      </c>
      <c r="C5" s="4" t="s">
        <v>28</v>
      </c>
      <c r="D5" s="4" t="str">
        <f>IFERROR(INDEX('Committee Roster'!$B$5:$B$50,MATCH(TRUE(),ISNUMBER(SEARCH(","&amp;2&amp;",",","&amp;'Committee Roster'!$E$5:$E$50&amp;",")),0)),"")</f>
        <v/>
      </c>
    </row>
    <row r="6" spans="1:4" s="9" customFormat="1" ht="15" customHeight="1" x14ac:dyDescent="0.25">
      <c r="A6" s="4" t="s">
        <v>26</v>
      </c>
      <c r="B6" s="3">
        <v>3</v>
      </c>
      <c r="C6" s="4" t="s">
        <v>29</v>
      </c>
      <c r="D6" s="4" t="str">
        <f>IFERROR(INDEX('Committee Roster'!$B$5:$B$50,MATCH(TRUE(),ISNUMBER(SEARCH(","&amp;3&amp;",",","&amp;'Committee Roster'!$E$5:$E$50&amp;",")),0)),"")</f>
        <v/>
      </c>
    </row>
    <row r="7" spans="1:4" s="9" customFormat="1" ht="15" customHeight="1" x14ac:dyDescent="0.25">
      <c r="A7" s="4" t="s">
        <v>26</v>
      </c>
      <c r="B7" s="3">
        <v>4</v>
      </c>
      <c r="C7" s="4" t="s">
        <v>30</v>
      </c>
      <c r="D7" s="4" t="str">
        <f>IFERROR(INDEX('Committee Roster'!$B$5:$B$50,MATCH(TRUE(),ISNUMBER(SEARCH(","&amp;4&amp;",",","&amp;'Committee Roster'!$E$5:$E$50&amp;",")),0)),"")</f>
        <v/>
      </c>
    </row>
    <row r="8" spans="1:4" s="9" customFormat="1" ht="15" customHeight="1" x14ac:dyDescent="0.25">
      <c r="A8" s="4" t="s">
        <v>26</v>
      </c>
      <c r="B8" s="3">
        <v>5</v>
      </c>
      <c r="C8" s="4" t="s">
        <v>31</v>
      </c>
      <c r="D8" s="4" t="str">
        <f>IFERROR(INDEX('Committee Roster'!$B$5:$B$50,MATCH(TRUE(),ISNUMBER(SEARCH(","&amp;5&amp;",",","&amp;'Committee Roster'!$E$5:$E$50&amp;",")),0)),"")</f>
        <v/>
      </c>
    </row>
    <row r="9" spans="1:4" s="9" customFormat="1" ht="23.25" customHeight="1" x14ac:dyDescent="0.25">
      <c r="A9" s="4" t="s">
        <v>26</v>
      </c>
      <c r="B9" s="3">
        <v>6</v>
      </c>
      <c r="C9" s="4" t="s">
        <v>32</v>
      </c>
      <c r="D9" s="4" t="str">
        <f>IFERROR(INDEX('Committee Roster'!$B$5:$B$50,MATCH(TRUE(),ISNUMBER(SEARCH(","&amp;6&amp;",",","&amp;'Committee Roster'!$E$5:$E$50&amp;",")),0)),"")</f>
        <v/>
      </c>
    </row>
    <row r="10" spans="1:4" s="9" customFormat="1" ht="15" customHeight="1" x14ac:dyDescent="0.25">
      <c r="A10" s="4" t="s">
        <v>26</v>
      </c>
      <c r="B10" s="3">
        <v>7</v>
      </c>
      <c r="C10" s="4" t="s">
        <v>33</v>
      </c>
      <c r="D10" s="4" t="str">
        <f>IFERROR(INDEX('Committee Roster'!$B$5:$B$50,MATCH(TRUE(),ISNUMBER(SEARCH(","&amp;7&amp;",",","&amp;'Committee Roster'!$E$5:$E$50&amp;",")),0)),"")</f>
        <v/>
      </c>
    </row>
    <row r="11" spans="1:4" s="9" customFormat="1" ht="15" customHeight="1" x14ac:dyDescent="0.25">
      <c r="A11" s="4" t="s">
        <v>34</v>
      </c>
      <c r="B11" s="3">
        <v>8</v>
      </c>
      <c r="C11" s="4" t="s">
        <v>35</v>
      </c>
      <c r="D11" s="4" t="str">
        <f>IFERROR(INDEX('Committee Roster'!$B$5:$B$50,MATCH(TRUE(),ISNUMBER(SEARCH(","&amp;8&amp;",",","&amp;'Committee Roster'!$E$5:$E$50&amp;",")),0)),"")</f>
        <v/>
      </c>
    </row>
    <row r="12" spans="1:4" s="9" customFormat="1" ht="23.25" customHeight="1" x14ac:dyDescent="0.25">
      <c r="A12" s="4" t="s">
        <v>36</v>
      </c>
      <c r="B12" s="3">
        <v>9</v>
      </c>
      <c r="C12" s="4" t="s">
        <v>37</v>
      </c>
      <c r="D12" s="4" t="str">
        <f>IFERROR(INDEX('Committee Roster'!$B$5:$B$50,MATCH(TRUE(),ISNUMBER(SEARCH(","&amp;9&amp;",",","&amp;'Committee Roster'!$E$5:$E$50&amp;",")),0)),"")</f>
        <v/>
      </c>
    </row>
    <row r="13" spans="1:4" s="9" customFormat="1" ht="23.25" customHeight="1" x14ac:dyDescent="0.25">
      <c r="A13" s="4" t="s">
        <v>14</v>
      </c>
      <c r="B13" s="3">
        <v>10</v>
      </c>
      <c r="C13" s="4" t="s">
        <v>38</v>
      </c>
      <c r="D13" s="6" t="s">
        <v>39</v>
      </c>
    </row>
    <row r="14" spans="1:4" s="9" customFormat="1" ht="15" customHeight="1" x14ac:dyDescent="0.25">
      <c r="A14" s="4" t="s">
        <v>14</v>
      </c>
      <c r="B14" s="3">
        <v>11</v>
      </c>
      <c r="C14" s="4" t="s">
        <v>40</v>
      </c>
      <c r="D14" s="6" t="str">
        <f>'Committee Roster'!B5</f>
        <v>Eduardo Filho</v>
      </c>
    </row>
    <row r="15" spans="1:4" s="9" customFormat="1" ht="25.5" x14ac:dyDescent="0.25">
      <c r="A15" s="4" t="s">
        <v>41</v>
      </c>
      <c r="B15" s="3">
        <v>12</v>
      </c>
      <c r="C15" s="4" t="s">
        <v>42</v>
      </c>
      <c r="D15" s="4" t="str">
        <f>IFERROR(INDEX('Committee Roster'!$B$5:$B$50,MATCH(TRUE(),ISNUMBER(SEARCH(","&amp;12&amp;",",","&amp;'Committee Roster'!$E$5:$E$50&amp;",")),0)),"")</f>
        <v/>
      </c>
    </row>
    <row r="16" spans="1:4" s="9" customFormat="1" ht="15" customHeight="1" x14ac:dyDescent="0.25">
      <c r="A16" s="4" t="s">
        <v>41</v>
      </c>
      <c r="B16" s="3">
        <v>13</v>
      </c>
      <c r="C16" s="4" t="s">
        <v>43</v>
      </c>
      <c r="D16" s="4" t="str">
        <f>IFERROR(INDEX('Committee Roster'!$B$5:$B$50,MATCH(TRUE(),ISNUMBER(SEARCH(","&amp;13&amp;",",","&amp;'Committee Roster'!$E$5:$E$50&amp;",")),0)),"")</f>
        <v/>
      </c>
    </row>
    <row r="17" spans="1:4" s="9" customFormat="1" ht="25.5" x14ac:dyDescent="0.25">
      <c r="A17" s="4" t="s">
        <v>41</v>
      </c>
      <c r="B17" s="3">
        <v>14</v>
      </c>
      <c r="C17" s="4" t="s">
        <v>44</v>
      </c>
      <c r="D17" s="4" t="str">
        <f>IFERROR(INDEX('Committee Roster'!$B$5:$B$50,MATCH(TRUE(),ISNUMBER(SEARCH(","&amp;14&amp;",",","&amp;'Committee Roster'!$E$5:$E$50&amp;",")),0)),"")</f>
        <v/>
      </c>
    </row>
    <row r="18" spans="1:4" s="9" customFormat="1" ht="15" customHeight="1" x14ac:dyDescent="0.25">
      <c r="A18" s="4" t="s">
        <v>45</v>
      </c>
      <c r="B18" s="3">
        <v>15</v>
      </c>
      <c r="C18" s="4" t="s">
        <v>46</v>
      </c>
      <c r="D18" s="4" t="str">
        <f>IFERROR(INDEX('Committee Roster'!$B$5:$B$50,MATCH(TRUE(),ISNUMBER(SEARCH(","&amp;15&amp;",",","&amp;'Committee Roster'!$E$5:$E$50&amp;",")),0)),"")</f>
        <v/>
      </c>
    </row>
    <row r="19" spans="1:4" s="9" customFormat="1" ht="15" customHeight="1" x14ac:dyDescent="0.25">
      <c r="A19" s="4" t="s">
        <v>45</v>
      </c>
      <c r="B19" s="3">
        <v>16</v>
      </c>
      <c r="C19" s="4" t="s">
        <v>47</v>
      </c>
      <c r="D19" s="4" t="str">
        <f>IFERROR(INDEX('Committee Roster'!$B$5:$B$50,MATCH(TRUE(),ISNUMBER(SEARCH(","&amp;16&amp;",",","&amp;'Committee Roster'!$E$5:$E$50&amp;",")),0)),"")</f>
        <v/>
      </c>
    </row>
    <row r="20" spans="1:4" s="9" customFormat="1" ht="15" customHeight="1" x14ac:dyDescent="0.25">
      <c r="A20" s="4" t="s">
        <v>45</v>
      </c>
      <c r="B20" s="3">
        <v>17</v>
      </c>
      <c r="C20" s="4" t="s">
        <v>48</v>
      </c>
      <c r="D20" s="4" t="str">
        <f>IFERROR(INDEX('Committee Roster'!$B$5:$B$50,MATCH(TRUE(),ISNUMBER(SEARCH(","&amp;17&amp;",",","&amp;'Committee Roster'!$E$5:$E$50&amp;",")),0)),"")</f>
        <v/>
      </c>
    </row>
    <row r="21" spans="1:4" s="9" customFormat="1" ht="15" customHeight="1" x14ac:dyDescent="0.25">
      <c r="A21" s="4" t="s">
        <v>45</v>
      </c>
      <c r="B21" s="3">
        <v>18</v>
      </c>
      <c r="C21" s="4" t="s">
        <v>49</v>
      </c>
      <c r="D21" s="4" t="str">
        <f>IFERROR(INDEX('Committee Roster'!$B$5:$B$50,MATCH(TRUE(),ISNUMBER(SEARCH(","&amp;18&amp;",",","&amp;'Committee Roster'!$E$5:$E$50&amp;",")),0)),"")</f>
        <v/>
      </c>
    </row>
    <row r="22" spans="1:4" s="9" customFormat="1" ht="15" customHeight="1" x14ac:dyDescent="0.25">
      <c r="A22" s="4" t="s">
        <v>45</v>
      </c>
      <c r="B22" s="3">
        <v>19</v>
      </c>
      <c r="C22" s="4" t="s">
        <v>50</v>
      </c>
      <c r="D22" s="4" t="str">
        <f>IFERROR(INDEX('Committee Roster'!$B$5:$B$50,MATCH(TRUE(),ISNUMBER(SEARCH(","&amp;19&amp;",",","&amp;'Committee Roster'!$E$5:$E$50&amp;",")),0)),"")</f>
        <v/>
      </c>
    </row>
    <row r="23" spans="1:4" s="9" customFormat="1" ht="15" customHeight="1" x14ac:dyDescent="0.25">
      <c r="A23" s="4" t="s">
        <v>45</v>
      </c>
      <c r="B23" s="3">
        <v>20</v>
      </c>
      <c r="C23" s="4" t="s">
        <v>51</v>
      </c>
      <c r="D23" s="4" t="str">
        <f>IFERROR(INDEX('Committee Roster'!$B$5:$B$50,MATCH(TRUE(),ISNUMBER(SEARCH(","&amp;20&amp;",",","&amp;'Committee Roster'!$E$5:$E$50&amp;",")),0)),"")</f>
        <v/>
      </c>
    </row>
    <row r="24" spans="1:4" s="9" customFormat="1" ht="23.25" customHeight="1" x14ac:dyDescent="0.25">
      <c r="A24" s="4" t="s">
        <v>52</v>
      </c>
      <c r="B24" s="3">
        <v>21</v>
      </c>
      <c r="C24" s="4" t="s">
        <v>53</v>
      </c>
      <c r="D24" s="4" t="str">
        <f>IFERROR(INDEX('Committee Roster'!$B$5:$B$50,MATCH(TRUE(),ISNUMBER(SEARCH(","&amp;21&amp;",",","&amp;'Committee Roster'!$E$5:$E$50&amp;",")),0)),"")</f>
        <v/>
      </c>
    </row>
    <row r="25" spans="1:4" s="9" customFormat="1" ht="23.25" customHeight="1" x14ac:dyDescent="0.25">
      <c r="A25" s="4" t="s">
        <v>52</v>
      </c>
      <c r="B25" s="3">
        <v>22</v>
      </c>
      <c r="C25" s="4" t="s">
        <v>54</v>
      </c>
      <c r="D25" s="4" t="str">
        <f>IFERROR(INDEX('Committee Roster'!$B$5:$B$50,MATCH(TRUE(),ISNUMBER(SEARCH(","&amp;22&amp;",",","&amp;'Committee Roster'!$E$5:$E$50&amp;",")),0)),"")</f>
        <v/>
      </c>
    </row>
    <row r="26" spans="1:4" s="9" customFormat="1" ht="23.25" customHeight="1" x14ac:dyDescent="0.25">
      <c r="A26" s="4" t="s">
        <v>52</v>
      </c>
      <c r="B26" s="3">
        <v>23</v>
      </c>
      <c r="C26" s="4" t="s">
        <v>55</v>
      </c>
      <c r="D26" s="4" t="str">
        <f>IFERROR(INDEX('Committee Roster'!$B$5:$B$50,MATCH(TRUE(),ISNUMBER(SEARCH(","&amp;23&amp;",",","&amp;'Committee Roster'!$E$5:$E$50&amp;",")),0)),"")</f>
        <v/>
      </c>
    </row>
    <row r="27" spans="1:4" s="9" customFormat="1" ht="15" customHeight="1" x14ac:dyDescent="0.25">
      <c r="A27" s="4" t="s">
        <v>56</v>
      </c>
      <c r="B27" s="3">
        <v>24</v>
      </c>
      <c r="C27" s="4" t="s">
        <v>57</v>
      </c>
      <c r="D27" s="4" t="str">
        <f>IFERROR(INDEX('Committee Roster'!$B$5:$B$50,MATCH(TRUE(),ISNUMBER(SEARCH(","&amp;24&amp;",",","&amp;'Committee Roster'!$E$5:$E$50&amp;",")),0)),"")</f>
        <v/>
      </c>
    </row>
    <row r="28" spans="1:4" s="9" customFormat="1" ht="15" customHeight="1" x14ac:dyDescent="0.25">
      <c r="A28" s="4" t="s">
        <v>56</v>
      </c>
      <c r="B28" s="3">
        <v>25</v>
      </c>
      <c r="C28" s="4" t="s">
        <v>58</v>
      </c>
      <c r="D28" s="4" t="str">
        <f>IFERROR(INDEX('Committee Roster'!$B$5:$B$50,MATCH(TRUE(),ISNUMBER(SEARCH(","&amp;25&amp;",",","&amp;'Committee Roster'!$E$5:$E$50&amp;",")),0)),"")</f>
        <v/>
      </c>
    </row>
    <row r="29" spans="1:4" s="9" customFormat="1" ht="23.25" customHeight="1" x14ac:dyDescent="0.25">
      <c r="A29" s="4" t="s">
        <v>56</v>
      </c>
      <c r="B29" s="3">
        <v>26</v>
      </c>
      <c r="C29" s="4" t="s">
        <v>59</v>
      </c>
      <c r="D29" s="4" t="str">
        <f>IFERROR(INDEX('Committee Roster'!$B$5:$B$50,MATCH(TRUE(),ISNUMBER(SEARCH(","&amp;26&amp;",",","&amp;'Committee Roster'!$E$5:$E$50&amp;",")),0)),"")</f>
        <v/>
      </c>
    </row>
    <row r="30" spans="1:4" s="9" customFormat="1" ht="25.5" x14ac:dyDescent="0.25">
      <c r="A30" s="4" t="s">
        <v>60</v>
      </c>
      <c r="B30" s="3">
        <v>27</v>
      </c>
      <c r="C30" s="4" t="s">
        <v>61</v>
      </c>
      <c r="D30" s="4" t="str">
        <f>IFERROR(INDEX('Committee Roster'!$B$5:$B$50,MATCH(TRUE(),ISNUMBER(SEARCH(","&amp;27&amp;",",","&amp;'Committee Roster'!$E$5:$E$50&amp;",")),0)),"")</f>
        <v/>
      </c>
    </row>
  </sheetData>
  <mergeCells count="1">
    <mergeCell ref="A1:D1"/>
  </mergeCells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Normal="100" workbookViewId="0">
      <selection sqref="A1:B1"/>
    </sheetView>
  </sheetViews>
  <sheetFormatPr defaultColWidth="8.7109375" defaultRowHeight="15" x14ac:dyDescent="0.25"/>
  <cols>
    <col min="1" max="1" width="22" style="1" customWidth="1"/>
    <col min="2" max="2" width="14" style="1" customWidth="1"/>
  </cols>
  <sheetData>
    <row r="1" spans="1:2" ht="17.25" customHeight="1" x14ac:dyDescent="0.25">
      <c r="A1" s="12" t="s">
        <v>62</v>
      </c>
      <c r="B1" s="12"/>
    </row>
    <row r="3" spans="1:2" ht="15" customHeight="1" x14ac:dyDescent="0.25">
      <c r="A3" s="7" t="s">
        <v>63</v>
      </c>
      <c r="B3" s="8">
        <f>COUNTA('Position Map'!C4:C30)</f>
        <v>27</v>
      </c>
    </row>
    <row r="4" spans="1:2" ht="15" customHeight="1" x14ac:dyDescent="0.25">
      <c r="A4" s="7" t="s">
        <v>64</v>
      </c>
      <c r="B4" s="8">
        <f>COUNTIF('Committee Roster'!K5:K50,"Confirmed")</f>
        <v>1</v>
      </c>
    </row>
    <row r="5" spans="1:2" ht="15" customHeight="1" x14ac:dyDescent="0.25">
      <c r="A5" s="7" t="s">
        <v>65</v>
      </c>
      <c r="B5" s="8">
        <f>SUMPRODUCT(--(LEN('Position Map'!D4:D30)&gt;0))</f>
        <v>2</v>
      </c>
    </row>
    <row r="6" spans="1:2" ht="15" customHeight="1" x14ac:dyDescent="0.25">
      <c r="A6" s="7" t="s">
        <v>66</v>
      </c>
      <c r="B6" s="8">
        <f>B3-B5</f>
        <v>25</v>
      </c>
    </row>
  </sheetData>
  <mergeCells count="1">
    <mergeCell ref="A1:B1"/>
  </mergeCells>
  <phoneticPr fontId="8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Committee Roster</vt:lpstr>
      <vt:lpstr>Position Map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Master</cp:lastModifiedBy>
  <cp:revision>0</cp:revision>
  <dcterms:created xsi:type="dcterms:W3CDTF">2026-06-13T11:12:56Z</dcterms:created>
  <dcterms:modified xsi:type="dcterms:W3CDTF">2026-06-13T12:12:49Z</dcterms:modified>
  <dc:language>en-US</dc:language>
</cp:coreProperties>
</file>